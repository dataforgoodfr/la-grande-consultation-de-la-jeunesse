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ode d'emploi" sheetId="1" state="visible" r:id="rId3"/>
    <sheet name="Marg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<sst xmlns="http://schemas.openxmlformats.org/spreadsheetml/2006/main" count="55" uniqueCount="43">
  <si>
    <t xml:space="preserve">À quoi sert ce fichier</t>
  </si>
  <si>
    <t xml:space="preserve">La pondération (calage sur marges) donne plus de poids aux groupes sous-représentés parmi les répondant·es et moins de poids aux groupes sur-représentés, pour que la répartition pondérée reproduise celle de la population de référence.</t>
  </si>
  <si>
    <t xml:space="preserve">Comment le remplir</t>
  </si>
  <si>
    <t xml:space="preserve">1. Fixez la population de référence : les jeunes de 15 à 24 ans (ou celle que l'équipe projet retient), et écrivez-la dans le commentaire.</t>
  </si>
  <si>
    <t xml:space="preserve">2. Pour chaque variable que vous voulez utiliser, saisissez la part de chaque modalité dans cette population (colonne jaune « part de la population »).</t>
  </si>
  <si>
    <t xml:space="preserve">3. Notez la source : organisme, année, lien. C'est ce qui rendra la pondération défendable.</t>
  </si>
  <si>
    <t xml:space="preserve">4. Une variable laissée entièrement vide n'est pas utilisée : le contrôle affiche « non utilisée ».</t>
  </si>
  <si>
    <t xml:space="preserve">5. Vérifiez que chaque variable utilisée affiche « OK » dans le tableau de contrôle.</t>
  </si>
  <si>
    <t xml:space="preserve">Conseils</t>
  </si>
  <si>
    <t xml:space="preserve">• Commencez par peu de variables : tranche_age et genre, puis situation et région si les sources sont fiables. Plus on cale de variables, plus les poids deviennent inégaux et plus la précision baisse.</t>
  </si>
  <si>
    <t xml:space="preserve">• Les modalités doivent s'écrire exactement comme dans le tableau (ne pas les renommer).</t>
  </si>
  <si>
    <t xml:space="preserve">• Les sources habituelles pour les 15-24 ans sont à chercher auprès de l'INSEE (population par âge, sexe et région), du ministère de l'Éducation nationale (élèves de collège et de lycée) et du ministère de l'Enseignement supérieur (étudiant·es). Vérifiez l'année et le périmètre avant de saisir une valeur : ce modèle ne contient aucune donnée de référence.</t>
  </si>
  <si>
    <t xml:space="preserve">• Les parts de la tranche d'âge doivent se rapporter à la même population que les autres variables.</t>
  </si>
  <si>
    <t xml:space="preserve">Ce que la pondération ne corrige pas</t>
  </si>
  <si>
    <t xml:space="preserve">Elle ne corrige que les écarts sur les variables calées. Si, au sein d'un même groupe, les personnes qui ont répondu sont plus politisées que celles qui n'ont pas répondu, la pondération ne le rattrape pas. À présenter comme un « redressement sur l'âge, le genre… », pas comme un sondage représentatif. Gardez toujours les résultats bruts à côté.</t>
  </si>
  <si>
    <t xml:space="preserve">Marges de référence pour la pondération — La grande Consultation</t>
  </si>
  <si>
    <t xml:space="preserve">À remplir : colonnes jaunes. Les parts d'une même variable doivent faire 100 % (hors modalités laissées vides).</t>
  </si>
  <si>
    <t xml:space="preserve">variable</t>
  </si>
  <si>
    <t xml:space="preserve">modalite</t>
  </si>
  <si>
    <t xml:space="preserve">part de la population</t>
  </si>
  <si>
    <t xml:space="preserve">source (organisme, année, lien)</t>
  </si>
  <si>
    <t xml:space="preserve">commentaire</t>
  </si>
  <si>
    <t xml:space="preserve">tranche_age</t>
  </si>
  <si>
    <t xml:space="preserve">15-17 ans (mineurs)</t>
  </si>
  <si>
    <t xml:space="preserve">Part des 15-24 ans dans chaque tranche.</t>
  </si>
  <si>
    <t xml:space="preserve">18-20 ans</t>
  </si>
  <si>
    <t xml:space="preserve">21-24 ans</t>
  </si>
  <si>
    <t xml:space="preserve">genre</t>
  </si>
  <si>
    <t xml:space="preserve">Femme</t>
  </si>
  <si>
    <t xml:space="preserve">Laisser « Non binaire », « Autre » et « Je préfère ne pas répondre » hors du tableau : ces répondant·es gardent un poids neutre. Répartir 100 % entre Femme et Homme.</t>
  </si>
  <si>
    <t xml:space="preserve">Homme</t>
  </si>
  <si>
    <t xml:space="preserve">situation</t>
  </si>
  <si>
    <t xml:space="preserve">Collégien·ne</t>
  </si>
  <si>
    <t xml:space="preserve">Situation des 15-24 ans. Les parts doivent couvrir toute la population de référence.</t>
  </si>
  <si>
    <t xml:space="preserve">Lycéen·ne</t>
  </si>
  <si>
    <t xml:space="preserve">Étudiant·e</t>
  </si>
  <si>
    <t xml:space="preserve">En emploi</t>
  </si>
  <si>
    <t xml:space="preserve">Sans emploi</t>
  </si>
  <si>
    <t xml:space="preserve">region_idf</t>
  </si>
  <si>
    <t xml:space="preserve">Île-de-France</t>
  </si>
  <si>
    <t xml:space="preserve">Part des 15-24 ans résidant en Île-de-France.</t>
  </si>
  <si>
    <t xml:space="preserve">Hors Île-de-France</t>
  </si>
  <si>
    <t xml:space="preserve">Contrôle (doit afficher 100 % pour chaque variable utilisée)</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</si>
</sst>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
      <b val="true"/>
      <sz val="13"/>
      <name val="Cambria"/>
      <family val="0"/>
      <charset val="1"/>
    </font>
    <font>
      <i val="true"/>
      <sz val="11"/>
      <color rgb="FF52514E"/>
      <name val="Cambria"/>
      <family val="0"/>
      <charset val="1"/>
    </font>
    <font>
      <b val="true"/>
      <sz val="11"/>
      <color rgb="FFFFFFFF"/>
      <name val="Cambria"/>
      <family val="0"/>
      <charset val="1"/>
    </font>
    <font>
      <b val="true"/>
      <sz val="11"/>
      <name val="Cambria"/>
      <family val="0"/>
      <charset val="1"/>
    </font>
  </fonts>
  <fills count="4">
    <fill>
      <patternFill patternType="none"/>
    </fill>
    <fill>
      <patternFill patternType="gray125"/>
    </fill>
    <fill>
      <patternFill patternType="solid">
        <fgColor rgb="FF2A78D6"/>
        <bgColor rgb="FF0066CC"/>
      </patternFill>
    </fill>
    <fill>
      <patternFill patternType="solid">
        <fgColor rgb="FFFFF4D6"/>
        <bgColor rgb="FFFFFFFF"/>
      </patternFill>
    </fill>
  </fills>
  <borders count="2">
    <border diagonalUp="false" diagonalDown="false">
      <left/>
      <right/>
      <top/>
      <bottom/>
      <diagonal/>
    </border>
    <border diagonalUp="false" diagonalDown="false">
      <left/>
      <right/>
      <top/>
      <bottom style="thin">
        <color rgb="FFD9D8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1B7F3B"/>
      </font>
    </dxf>
    <dxf>
      <font>
        <b val="1"/>
        <color rgb="FFB42318"/>
      </font>
    </dxf>
  </dxfs>
  <colors>
    <indexedColors>
      <rgbColor rgb="FF000000"/>
      <rgbColor rgb="FFFFFFFF"/>
      <rgbColor rgb="FFFF0000"/>
      <rgbColor rgb="FF00FF00"/>
      <rgbColor rgb="FF0000FF"/>
      <rgbColor rgb="FFFFFF00"/>
      <rgbColor rgb="FFFF00FF"/>
      <rgbColor rgb="FF00FFFF"/>
      <rgbColor rgb="FF800000"/>
      <rgbColor rgb="FF1B7F3B"/>
      <rgbColor rgb="FF000080"/>
      <rgbColor rgb="FF808000"/>
      <rgbColor rgb="FF800080"/>
      <rgbColor rgb="FF008080"/>
      <rgbColor rgb="FFC0C0C0"/>
      <rgbColor rgb="FF808080"/>
      <rgbColor rgb="FF9999FF"/>
      <rgbColor rgb="FF993366"/>
      <rgbColor rgb="FFFFF4D6"/>
      <rgbColor rgb="FFCCFFFF"/>
      <rgbColor rgb="FF660066"/>
      <rgbColor rgb="FFFF8080"/>
      <rgbColor rgb="FF0066CC"/>
      <rgbColor rgb="FFD9D8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666699"/>
      <rgbColor rgb="FF969696"/>
      <rgbColor rgb="FF003366"/>
      <rgbColor rgb="FF339966"/>
      <rgbColor rgb="FF003300"/>
      <rgbColor rgb="FF333300"/>
      <rgbColor rgb="FFB42318"/>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28.3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8.35" hidden="false" customHeight="false" outlineLevel="0" collapsed="false">
      <c r="A5" s="2" t="s">
        <v>3</v>
      </c>
    </row>
    <row r="6" customFormat="false" ht="28.3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1" t="s">
        <v>8</v>
      </c>
    </row>
    <row r="12" customFormat="false" ht="28.35" hidden="false" customHeight="false" outlineLevel="0" collapsed="false">
      <c r="A12" s="2" t="s">
        <v>9</v>
      </c>
    </row>
    <row r="13" customFormat="false" ht="15" hidden="false" customHeight="false" outlineLevel="0" collapsed="false">
      <c r="A13" s="2" t="s">
        <v>10</v>
      </c>
    </row>
    <row r="14" customFormat="false" ht="41.7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41.7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22"/>
    <col collapsed="false" customWidth="true" hidden="false" outlineLevel="0" max="4" min="4" style="0" width="44"/>
    <col collapsed="false" customWidth="true" hidden="false" outlineLevel="0" max="5" min="5" style="0" width="70"/>
  </cols>
  <sheetData>
    <row r="1" customFormat="false" ht="16.15" hidden="false" customHeight="false" outlineLevel="0" collapsed="false">
      <c r="A1" s="3" t="s">
        <v>15</v>
      </c>
    </row>
    <row r="2" customFormat="false" ht="15" hidden="false" customHeight="false" outlineLevel="0" collapsed="false">
      <c r="A2" s="4" t="s">
        <v>16</v>
      </c>
    </row>
    <row r="4" customFormat="false" ht="30" hidden="false" customHeight="true" outlineLevel="0" collapsed="false">
      <c r="A4" s="5" t="s">
        <v>17</v>
      </c>
      <c r="B4" s="5" t="s">
        <v>18</v>
      </c>
      <c r="C4" s="5" t="s">
        <v>19</v>
      </c>
      <c r="D4" s="5" t="s">
        <v>20</v>
      </c>
      <c r="E4" s="5" t="s">
        <v>21</v>
      </c>
    </row>
    <row r="5" customFormat="false" ht="15" hidden="false" customHeight="false" outlineLevel="0" collapsed="false">
      <c r="A5" s="6" t="s">
        <v>22</v>
      </c>
      <c r="B5" s="6" t="s">
        <v>23</v>
      </c>
      <c r="C5" s="7"/>
      <c r="D5" s="8"/>
      <c r="E5" s="9" t="s">
        <v>24</v>
      </c>
    </row>
    <row r="6" customFormat="false" ht="15" hidden="false" customHeight="false" outlineLevel="0" collapsed="false">
      <c r="A6" s="6" t="s">
        <v>22</v>
      </c>
      <c r="B6" s="6" t="s">
        <v>25</v>
      </c>
      <c r="C6" s="7"/>
      <c r="D6" s="8"/>
      <c r="E6" s="9"/>
    </row>
    <row r="7" customFormat="false" ht="15" hidden="false" customHeight="false" outlineLevel="0" collapsed="false">
      <c r="A7" s="6" t="s">
        <v>22</v>
      </c>
      <c r="B7" s="6" t="s">
        <v>26</v>
      </c>
      <c r="C7" s="7"/>
      <c r="D7" s="8"/>
      <c r="E7" s="9"/>
    </row>
    <row r="9" customFormat="false" ht="41.75" hidden="false" customHeight="false" outlineLevel="0" collapsed="false">
      <c r="A9" s="6" t="s">
        <v>27</v>
      </c>
      <c r="B9" s="6" t="s">
        <v>28</v>
      </c>
      <c r="C9" s="7"/>
      <c r="D9" s="8"/>
      <c r="E9" s="9" t="s">
        <v>29</v>
      </c>
    </row>
    <row r="10" customFormat="false" ht="15" hidden="false" customHeight="false" outlineLevel="0" collapsed="false">
      <c r="A10" s="6" t="s">
        <v>27</v>
      </c>
      <c r="B10" s="6" t="s">
        <v>30</v>
      </c>
      <c r="C10" s="7"/>
      <c r="D10" s="8"/>
      <c r="E10" s="9"/>
    </row>
    <row r="12" customFormat="false" ht="28.35" hidden="false" customHeight="false" outlineLevel="0" collapsed="false">
      <c r="A12" s="6" t="s">
        <v>31</v>
      </c>
      <c r="B12" s="6" t="s">
        <v>32</v>
      </c>
      <c r="C12" s="7"/>
      <c r="D12" s="8"/>
      <c r="E12" s="9" t="s">
        <v>33</v>
      </c>
    </row>
    <row r="13" customFormat="false" ht="15" hidden="false" customHeight="false" outlineLevel="0" collapsed="false">
      <c r="A13" s="6" t="s">
        <v>31</v>
      </c>
      <c r="B13" s="6" t="s">
        <v>34</v>
      </c>
      <c r="C13" s="7"/>
      <c r="D13" s="8"/>
      <c r="E13" s="9"/>
    </row>
    <row r="14" customFormat="false" ht="15" hidden="false" customHeight="false" outlineLevel="0" collapsed="false">
      <c r="A14" s="6" t="s">
        <v>31</v>
      </c>
      <c r="B14" s="6" t="s">
        <v>35</v>
      </c>
      <c r="C14" s="7"/>
      <c r="D14" s="8"/>
      <c r="E14" s="9"/>
    </row>
    <row r="15" customFormat="false" ht="15" hidden="false" customHeight="false" outlineLevel="0" collapsed="false">
      <c r="A15" s="6" t="s">
        <v>31</v>
      </c>
      <c r="B15" s="6" t="s">
        <v>36</v>
      </c>
      <c r="C15" s="7"/>
      <c r="D15" s="8"/>
      <c r="E15" s="9"/>
    </row>
    <row r="16" customFormat="false" ht="15" hidden="false" customHeight="false" outlineLevel="0" collapsed="false">
      <c r="A16" s="6" t="s">
        <v>31</v>
      </c>
      <c r="B16" s="6" t="s">
        <v>37</v>
      </c>
      <c r="C16" s="7"/>
      <c r="D16" s="8"/>
      <c r="E16" s="9"/>
    </row>
    <row r="18" customFormat="false" ht="15" hidden="false" customHeight="false" outlineLevel="0" collapsed="false">
      <c r="A18" s="6" t="s">
        <v>38</v>
      </c>
      <c r="B18" s="6" t="s">
        <v>39</v>
      </c>
      <c r="C18" s="7"/>
      <c r="D18" s="8"/>
      <c r="E18" s="9" t="s">
        <v>40</v>
      </c>
    </row>
    <row r="19" customFormat="false" ht="15" hidden="false" customHeight="false" outlineLevel="0" collapsed="false">
      <c r="A19" s="6" t="s">
        <v>38</v>
      </c>
      <c r="B19" s="6" t="s">
        <v>41</v>
      </c>
      <c r="C19" s="7"/>
      <c r="D19" s="8"/>
      <c r="E19" s="9"/>
    </row>
    <row r="21" customFormat="false" ht="15" hidden="false" customHeight="false" outlineLevel="0" collapsed="false">
      <c r="A21" s="10" t="s">
        <v>42</v>
      </c>
    </row>
    <row r="22" customFormat="false" ht="15" hidden="false" customHeight="false" outlineLevel="0" collapsed="false">
      <c r="A22" s="0" t="s">
        <v>22</v>
      </c>
      <c r="C22" s="11" t="n">
        <f aca="false">SUMIF($A$5:$A$19,A22,$C$5:$C$19)</f>
        <v>0</v>
      </c>
      <c r="D22" s="0" t="str">
        <f aca="false">IF(C22=0,"non utilisée",IF(ABS(C22-1)&lt;0.001,"OK","somme ≠ 100 %"))</f>
        <v>non utilisée</v>
      </c>
    </row>
    <row r="23" customFormat="false" ht="15" hidden="false" customHeight="false" outlineLevel="0" collapsed="false">
      <c r="A23" s="0" t="s">
        <v>27</v>
      </c>
      <c r="C23" s="11" t="n">
        <f aca="false">SUMIF($A$5:$A$19,A23,$C$5:$C$19)</f>
        <v>0</v>
      </c>
      <c r="D23" s="0" t="str">
        <f aca="false">IF(C23=0,"non utilisée",IF(ABS(C23-1)&lt;0.001,"OK","somme ≠ 100 %"))</f>
        <v>non utilisée</v>
      </c>
    </row>
    <row r="24" customFormat="false" ht="15" hidden="false" customHeight="false" outlineLevel="0" collapsed="false">
      <c r="A24" s="0" t="s">
        <v>31</v>
      </c>
      <c r="C24" s="11" t="n">
        <f aca="false">SUMIF($A$5:$A$19,A24,$C$5:$C$19)</f>
        <v>0</v>
      </c>
      <c r="D24" s="0" t="str">
        <f aca="false">IF(C24=0,"non utilisée",IF(ABS(C24-1)&lt;0.001,"OK","somme ≠ 100 %"))</f>
        <v>non utilisée</v>
      </c>
    </row>
    <row r="25" customFormat="false" ht="15" hidden="false" customHeight="false" outlineLevel="0" collapsed="false">
      <c r="A25" s="0" t="s">
        <v>38</v>
      </c>
      <c r="C25" s="11" t="n">
        <f aca="false">SUMIF($A$5:$A$19,A25,$C$5:$C$19)</f>
        <v>0</v>
      </c>
      <c r="D25" s="0" t="str">
        <f aca="false">IF(C25=0,"non utilisée",IF(ABS(C25-1)&lt;0.001,"OK","somme ≠ 100 %"))</f>
        <v>non utilisée</v>
      </c>
    </row>
  </sheetData>
  <conditionalFormatting sqref="D22:D25">
    <cfRule type="expression" priority="2" aboveAverage="0" equalAverage="0" bottom="0" percent="0" rank="0" text="" dxfId="0">
      <formula>D22="OK"</formula>
    </cfRule>
    <cfRule type="expression" priority="3" aboveAverage="0" equalAverage="0" bottom="0" percent="0" rank="0" text="" dxfId="1">
      <formula>D22="somme ≠ 100 %"</formula>
    </cfRule>
  </conditionalFormatting>
  <dataValidations count="1">
    <dataValidation allowBlank="true" error="Saisissez une part entre 0 % et 100 % (ex. 52,5 %)." errorStyle="stop" errorTitle="Part invalide" operator="between" showDropDown="false" showErrorMessage="false" showInputMessage="false" sqref="C5:C19"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2026-10-08T08:06:13Z</dcterms:created>
  <dc:creator>openpyxl</dc:creator>
  <dc:description/>
  <dc:language>en-US</dc:language>
  <cp:lastModifiedBy/>
  <dcterms:modified xsi:type="dcterms:W3CDTF">2026-10-08T08:06:13Z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